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<sst xmlns="http://schemas.openxmlformats.org/spreadsheetml/2006/main" count="405" uniqueCount="198">
  <si>
    <t/>
  </si>
  <si>
    <t xml:space="preserve">Bill of Materials </t>
  </si>
  <si>
    <t>BOM_Board1_PCB1_2026-07-31</t>
  </si>
  <si>
    <t>Project Title：</t>
  </si>
  <si>
    <t>EspHomeAutomation_copy</t>
  </si>
  <si>
    <t>Variant:</t>
  </si>
  <si>
    <t xml:space="preserve"> </t>
  </si>
  <si>
    <t>Report Time：</t>
  </si>
  <si>
    <t>2026年7月31日 21:16:47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</si>
  <si>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</si>
  <si>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</si>
  <si>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</si>
  <si>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</si>
  <si>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</si>
  <si>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</si>
  <si>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</si>
  <si>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</si>
  <si>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</si>
  <si>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</si>
  <si>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</si>
  <si>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</si>
  <si>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KF301R-5.0-2P</t>
  </si>
  <si>
    <t>5V-Power</t>
  </si>
  <si>
    <t>CONN-TH_P5.00_KF301R-5.0-2P</t>
  </si>
  <si>
    <t>KEFA(科发)</t>
  </si>
  <si>
    <t>C474883</t>
  </si>
  <si>
    <t>LCSC</t>
  </si>
  <si>
    <t>JP_RS485_BIAS_A_3V3</t>
  </si>
  <si>
    <t>485A+</t>
  </si>
  <si>
    <t>HDR-TH_2P-P2.54-V-M-1</t>
  </si>
  <si>
    <t>C2940092</t>
  </si>
  <si>
    <t>JP_RS485_BIAS_B_GND</t>
  </si>
  <si>
    <t>485B-</t>
  </si>
  <si>
    <t>JP_RS485_TERM_120R</t>
  </si>
  <si>
    <t>485TERM</t>
  </si>
  <si>
    <t>1000uF</t>
  </si>
  <si>
    <t>CAP-TH_BD10.0-P5.00-D0.6-FD</t>
  </si>
  <si>
    <t>1000uF 16V</t>
  </si>
  <si>
    <t>Chengx(承兴)</t>
  </si>
  <si>
    <t>C439782</t>
  </si>
  <si>
    <t>100nF</t>
  </si>
  <si>
    <t>C1, C2, C3, C5, C6, C7, C9</t>
  </si>
  <si>
    <t>C0805</t>
  </si>
  <si>
    <t>CC0805KRX7R9BB104</t>
  </si>
  <si>
    <t>YAGEO(国巨)</t>
  </si>
  <si>
    <t>C49678</t>
  </si>
  <si>
    <t>10uF</t>
  </si>
  <si>
    <t>C4, C8, C10, C13</t>
  </si>
  <si>
    <t>CL21A106KAYNNNE</t>
  </si>
  <si>
    <t>SAMSUNG(三星)</t>
  </si>
  <si>
    <t>C15850</t>
  </si>
  <si>
    <t>C12</t>
  </si>
  <si>
    <t>C0603</t>
  </si>
  <si>
    <t>CC0603KRX7R9BB104</t>
  </si>
  <si>
    <t>C14663</t>
  </si>
  <si>
    <t>KF301-5.0-3P</t>
  </si>
  <si>
    <t>CAN, RS485, U6, U7, U8, U9, U10, U11, U12, U13, U14, U15, U16, U17, U18, U19, U20, U21</t>
  </si>
  <si>
    <t>CONN-TH_3P-P5.00_KF301-5.0-3P</t>
  </si>
  <si>
    <t>C474882</t>
  </si>
  <si>
    <t>JP_CAN_TERM_120R</t>
  </si>
  <si>
    <t>CANTERM</t>
  </si>
  <si>
    <t>SM712</t>
  </si>
  <si>
    <t>D1, D2</t>
  </si>
  <si>
    <t>SOT-23-3_L2.9-W1.3-P1.90-LS2.4-BR</t>
  </si>
  <si>
    <t>TECH PUBLIC(台舟)</t>
  </si>
  <si>
    <t>C521963</t>
  </si>
  <si>
    <t>ESP32-S3-DEVKITC-1-N8R8</t>
  </si>
  <si>
    <t>ESP32S3N16R8</t>
  </si>
  <si>
    <t>CONN-TH_ESP32-S3-DEVKITC-1U-N8</t>
  </si>
  <si>
    <t>ESPRESSIF(乐鑫)</t>
  </si>
  <si>
    <t>C20541519</t>
  </si>
  <si>
    <t>ASMD1812-300-16V</t>
  </si>
  <si>
    <t>F1</t>
  </si>
  <si>
    <t>F1812</t>
  </si>
  <si>
    <t>JDTfuse(集电通)</t>
  </si>
  <si>
    <t>C2982284</t>
  </si>
  <si>
    <t>BX-HA2.54-8PWT</t>
  </si>
  <si>
    <t>FM225</t>
  </si>
  <si>
    <t>CONN-SMD_8P-P2.50_MEGASTAR_ZX-HA2.54-8PWT</t>
  </si>
  <si>
    <t>Bossie(博锡)</t>
  </si>
  <si>
    <t>C18077812</t>
  </si>
  <si>
    <t>BX-HA2.54-4PWT</t>
  </si>
  <si>
    <t>FMPower, I2C, LUX, MP3, MQ135</t>
  </si>
  <si>
    <t>CONN-SMD_4P-P2.50_MEGASTAR_ZX-HA2.54-4PWT</t>
  </si>
  <si>
    <t>C18077808</t>
  </si>
  <si>
    <t>NCD0805R1</t>
  </si>
  <si>
    <t>LED1, LED2, LED3, LED4, LED5, LED6, LED7, LED8, LED9, LED10, LED11, LED12, LED13, LED14, LED15, LED16, LED17</t>
  </si>
  <si>
    <t>LED0805-RD</t>
  </si>
  <si>
    <t>国星光电</t>
  </si>
  <si>
    <t>C84256</t>
  </si>
  <si>
    <t>MAX3485EIMM/TR</t>
  </si>
  <si>
    <t>MAX3485</t>
  </si>
  <si>
    <t>MSOP-8_L3.0-W3.0-P0.65-LS4.9-BL</t>
  </si>
  <si>
    <t>HGSEMI(华冠)</t>
  </si>
  <si>
    <t>C5310818</t>
  </si>
  <si>
    <t>MCP23017-E/SO</t>
  </si>
  <si>
    <t>SOIC-28_L18.0-W7.5-P1.27-LS10.3-BL</t>
  </si>
  <si>
    <t>MICROCHIP(美国微芯)</t>
  </si>
  <si>
    <t>C47023</t>
  </si>
  <si>
    <t>HNR-1207PA6.5</t>
  </si>
  <si>
    <t>PASSIVEBUZZER</t>
  </si>
  <si>
    <t>BUZ-TH_BD12.5-P6.50-D0.9</t>
  </si>
  <si>
    <t>华能</t>
  </si>
  <si>
    <t>C22387765</t>
  </si>
  <si>
    <t>BX-HA2.54-3PWT</t>
  </si>
  <si>
    <t>PIR1, PIR2, REED, TEMP</t>
  </si>
  <si>
    <t>CONN-SMD_3P-P2.50_BX-HA2.54-3PWT</t>
  </si>
  <si>
    <t>C18077807</t>
  </si>
  <si>
    <t>120P03</t>
  </si>
  <si>
    <t>Q1</t>
  </si>
  <si>
    <t>TO-252-2_L6.6-W6.1-P4.57-LS9.9-BR-CW</t>
  </si>
  <si>
    <t>HL(富海微)</t>
  </si>
  <si>
    <t>C20071222</t>
  </si>
  <si>
    <t>1kΩ</t>
  </si>
  <si>
    <t>R1, R2, R3, R4, R5, R6, R7, R8, R9, R10, R11, R12, R13, R14, R15, R16, R39, R40</t>
  </si>
  <si>
    <t>R0805</t>
  </si>
  <si>
    <t>0805W8F1001T5E</t>
  </si>
  <si>
    <t>UNI-ROYAL(厚声)</t>
  </si>
  <si>
    <t>C17513</t>
  </si>
  <si>
    <t>10kΩ</t>
  </si>
  <si>
    <t>R36, R37, R38, R51, R57</t>
  </si>
  <si>
    <t>0805W8F1002T5E</t>
  </si>
  <si>
    <t>C17414</t>
  </si>
  <si>
    <t>100kΩ</t>
  </si>
  <si>
    <t>R41</t>
  </si>
  <si>
    <t>0805W8F1003T5E</t>
  </si>
  <si>
    <t>C149504</t>
  </si>
  <si>
    <t>4.7kΩ</t>
  </si>
  <si>
    <t>R42</t>
  </si>
  <si>
    <t>0805W8F4701T5E</t>
  </si>
  <si>
    <t>C17673</t>
  </si>
  <si>
    <t>120Ω</t>
  </si>
  <si>
    <t>R52, R56</t>
  </si>
  <si>
    <t>0805W8F1200T5E</t>
  </si>
  <si>
    <t>C17437</t>
  </si>
  <si>
    <t>680Ω</t>
  </si>
  <si>
    <t>R54, R55</t>
  </si>
  <si>
    <t>0805W8F6800T5E</t>
  </si>
  <si>
    <t>C17798</t>
  </si>
  <si>
    <t>R60, R61</t>
  </si>
  <si>
    <t>R0603</t>
  </si>
  <si>
    <t>0603WAF4701T5E</t>
  </si>
  <si>
    <t>C23162</t>
  </si>
  <si>
    <t>R62</t>
  </si>
  <si>
    <t>0603WAF1002T5E</t>
  </si>
  <si>
    <t>C25804</t>
  </si>
  <si>
    <t>20kΩ</t>
  </si>
  <si>
    <t>R63</t>
  </si>
  <si>
    <t>0603WAF2002T5E</t>
  </si>
  <si>
    <t>C4184</t>
  </si>
  <si>
    <t>R64, R65, R66, R67, R68, R69, R70, R71, R72, R73, R74, R75, R76, R77, R78, R79, R80</t>
  </si>
  <si>
    <t>0603WAF1003T5E</t>
  </si>
  <si>
    <t>C25803</t>
  </si>
  <si>
    <t>SRD-05VDC-SL-C</t>
  </si>
  <si>
    <t>RLY1, RLY2, RLY3, RLY4, RLY5, RLY6, RLY7, RLY8, RLY9, RLY10, RLY11, RLY12, RLY13, RLY14, RLY15, RLY16</t>
  </si>
  <si>
    <t>RELAY-TH_SRD-XXVDC-XL-C</t>
  </si>
  <si>
    <t>松乐</t>
  </si>
  <si>
    <t>C35449</t>
  </si>
  <si>
    <t>S8050 J3Y(RANGE:200-350)</t>
  </si>
  <si>
    <t>S8050</t>
  </si>
  <si>
    <t>SOT-23-3_L3.0-W1.7-P0.95-LS2.9-BR</t>
  </si>
  <si>
    <t>CJ(江苏长电/长晶)</t>
  </si>
  <si>
    <t>C2146</t>
  </si>
  <si>
    <t>DS1023-1*4S21</t>
  </si>
  <si>
    <t>SHT3X</t>
  </si>
  <si>
    <t>HDR-TH_DS1023-1X4S21</t>
  </si>
  <si>
    <t>CONNFLY</t>
  </si>
  <si>
    <t>C7423131</t>
  </si>
  <si>
    <t>SN65HVD232DR</t>
  </si>
  <si>
    <t>SOIC-8_L5.0-W4.0-P1.27-LS6.0-BL</t>
  </si>
  <si>
    <t>TI(德州仪器)</t>
  </si>
  <si>
    <t>C30530</t>
  </si>
  <si>
    <t>ULN2803A</t>
  </si>
  <si>
    <t>ULN2803AU3, ULN2803AU4</t>
  </si>
  <si>
    <t>SOP-18_L11.4-W7.6-P1.27-LS10.6-BL</t>
  </si>
  <si>
    <t>UMW(友台半导体)</t>
  </si>
  <si>
    <t>C845537</t>
  </si>
  <si>
    <t>W25Q128JVSIQ</t>
  </si>
  <si>
    <t>SOIC-8_L5.3-W5.3-P1.27-LS8.0-BL</t>
  </si>
  <si>
    <t>Winbond(华邦)</t>
  </si>
  <si>
    <t>C97521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</si>
  <si>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</si>
  <si>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</si>
  <si>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</si>
  <si>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</si>
  <si>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</si>
  <si>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</si>
  <si>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</si>
  <si>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</si>
  <si>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</si>
  <si>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</si>
  <si>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21:16:47</t>
  </si>
  <si>
    <t>Report Date</t>
  </si>
  <si>
    <t>2026年7月31日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</si>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</sst>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27</v>
      </c>
      <c r="D8" s="9" t="s">
        <v>28</v>
      </c>
      <c r="E8" s="9" t="s">
        <v>29</v>
      </c>
      <c r="F8" s="9" t="s">
        <v>0</v>
      </c>
      <c r="G8" s="9" t="s">
        <v>27</v>
      </c>
      <c r="H8" s="9" t="s">
        <v>0</v>
      </c>
      <c r="I8" s="9" t="s">
        <v>30</v>
      </c>
      <c r="J8" s="9" t="s">
        <v>26</v>
      </c>
      <c r="K8" s="9" t="s">
        <v>0</v>
      </c>
    </row>
    <row r="9" spans="1:11" x14ac:dyDescent="0.25">
      <c r="A9" s="8">
        <f>ROW()-6</f>
      </c>
      <c r="B9" s="9">
        <v>1</v>
      </c>
      <c r="C9" s="9" t="s">
        <v>31</v>
      </c>
      <c r="D9" s="9" t="s">
        <v>32</v>
      </c>
      <c r="E9" s="9" t="s">
        <v>29</v>
      </c>
      <c r="F9" s="9" t="s">
        <v>0</v>
      </c>
      <c r="G9" s="9" t="s">
        <v>31</v>
      </c>
      <c r="H9" s="9" t="s">
        <v>0</v>
      </c>
      <c r="I9" s="9" t="s">
        <v>30</v>
      </c>
      <c r="J9" s="9" t="s">
        <v>26</v>
      </c>
      <c r="K9" s="9" t="s">
        <v>0</v>
      </c>
    </row>
    <row r="10" spans="1:11" x14ac:dyDescent="0.25">
      <c r="A10" s="8">
        <f>ROW()-6</f>
      </c>
      <c r="B10" s="9">
        <v>1</v>
      </c>
      <c r="C10" s="9" t="s">
        <v>33</v>
      </c>
      <c r="D10" s="9" t="s">
        <v>34</v>
      </c>
      <c r="E10" s="9" t="s">
        <v>29</v>
      </c>
      <c r="F10" s="9" t="s">
        <v>0</v>
      </c>
      <c r="G10" s="9" t="s">
        <v>33</v>
      </c>
      <c r="H10" s="9" t="s">
        <v>0</v>
      </c>
      <c r="I10" s="9" t="s">
        <v>30</v>
      </c>
      <c r="J10" s="9" t="s">
        <v>26</v>
      </c>
      <c r="K10" s="9" t="s">
        <v>0</v>
      </c>
    </row>
    <row r="11" spans="1:11" x14ac:dyDescent="0.25">
      <c r="A11" s="8">
        <f>ROW()-6</f>
      </c>
      <c r="B11" s="9">
        <v>1</v>
      </c>
      <c r="C11" s="9" t="s">
        <v>35</v>
      </c>
      <c r="D11" s="9" t="s">
        <v>35</v>
      </c>
      <c r="E11" s="9" t="s">
        <v>36</v>
      </c>
      <c r="F11" s="9" t="s">
        <v>35</v>
      </c>
      <c r="G11" s="9" t="s">
        <v>37</v>
      </c>
      <c r="H11" s="9" t="s">
        <v>38</v>
      </c>
      <c r="I11" s="9" t="s">
        <v>39</v>
      </c>
      <c r="J11" s="9" t="s">
        <v>26</v>
      </c>
      <c r="K11" s="9" t="s">
        <v>0</v>
      </c>
    </row>
    <row r="12" spans="1:11" x14ac:dyDescent="0.25">
      <c r="A12" s="8">
        <f>ROW()-6</f>
      </c>
      <c r="B12" s="9">
        <v>7</v>
      </c>
      <c r="C12" s="9" t="s">
        <v>40</v>
      </c>
      <c r="D12" s="9" t="s">
        <v>41</v>
      </c>
      <c r="E12" s="9" t="s">
        <v>42</v>
      </c>
      <c r="F12" s="9" t="s">
        <v>40</v>
      </c>
      <c r="G12" s="9" t="s">
        <v>43</v>
      </c>
      <c r="H12" s="9" t="s">
        <v>44</v>
      </c>
      <c r="I12" s="9" t="s">
        <v>45</v>
      </c>
      <c r="J12" s="9" t="s">
        <v>26</v>
      </c>
      <c r="K12" s="9" t="s">
        <v>0</v>
      </c>
    </row>
    <row r="13" spans="1:11" x14ac:dyDescent="0.25">
      <c r="A13" s="8">
        <f>ROW()-6</f>
      </c>
      <c r="B13" s="9">
        <v>4</v>
      </c>
      <c r="C13" s="9" t="s">
        <v>46</v>
      </c>
      <c r="D13" s="9" t="s">
        <v>47</v>
      </c>
      <c r="E13" s="9" t="s">
        <v>42</v>
      </c>
      <c r="F13" s="9" t="s">
        <v>46</v>
      </c>
      <c r="G13" s="9" t="s">
        <v>48</v>
      </c>
      <c r="H13" s="9" t="s">
        <v>49</v>
      </c>
      <c r="I13" s="9" t="s">
        <v>50</v>
      </c>
      <c r="J13" s="9" t="s">
        <v>26</v>
      </c>
      <c r="K13" s="9" t="s">
        <v>0</v>
      </c>
    </row>
    <row r="14" spans="1:11" x14ac:dyDescent="0.25">
      <c r="A14" s="8">
        <f>ROW()-6</f>
      </c>
      <c r="B14" s="9">
        <v>1</v>
      </c>
      <c r="C14" s="9" t="s">
        <v>40</v>
      </c>
      <c r="D14" s="9" t="s">
        <v>51</v>
      </c>
      <c r="E14" s="9" t="s">
        <v>52</v>
      </c>
      <c r="F14" s="9" t="s">
        <v>40</v>
      </c>
      <c r="G14" s="9" t="s">
        <v>53</v>
      </c>
      <c r="H14" s="9" t="s">
        <v>44</v>
      </c>
      <c r="I14" s="9" t="s">
        <v>54</v>
      </c>
      <c r="J14" s="9" t="s">
        <v>26</v>
      </c>
      <c r="K14" s="9" t="s">
        <v>0</v>
      </c>
    </row>
    <row r="15" spans="1:11" x14ac:dyDescent="0.25">
      <c r="A15" s="8">
        <f>ROW()-6</f>
      </c>
      <c r="B15" s="9">
        <v>18</v>
      </c>
      <c r="C15" s="9" t="s">
        <v>55</v>
      </c>
      <c r="D15" s="9" t="s">
        <v>56</v>
      </c>
      <c r="E15" s="9" t="s">
        <v>57</v>
      </c>
      <c r="F15" s="9" t="s">
        <v>0</v>
      </c>
      <c r="G15" s="9" t="s">
        <v>55</v>
      </c>
      <c r="H15" s="9" t="s">
        <v>24</v>
      </c>
      <c r="I15" s="9" t="s">
        <v>58</v>
      </c>
      <c r="J15" s="9" t="s">
        <v>26</v>
      </c>
      <c r="K15" s="9" t="s">
        <v>0</v>
      </c>
    </row>
    <row r="16" spans="1:11" x14ac:dyDescent="0.25">
      <c r="A16" s="8">
        <f>ROW()-6</f>
      </c>
      <c r="B16" s="9">
        <v>1</v>
      </c>
      <c r="C16" s="9" t="s">
        <v>59</v>
      </c>
      <c r="D16" s="9" t="s">
        <v>60</v>
      </c>
      <c r="E16" s="9" t="s">
        <v>29</v>
      </c>
      <c r="F16" s="9" t="s">
        <v>0</v>
      </c>
      <c r="G16" s="9" t="s">
        <v>59</v>
      </c>
      <c r="H16" s="9" t="s">
        <v>0</v>
      </c>
      <c r="I16" s="9" t="s">
        <v>30</v>
      </c>
      <c r="J16" s="9" t="s">
        <v>26</v>
      </c>
      <c r="K16" s="9" t="s">
        <v>0</v>
      </c>
    </row>
    <row r="17" spans="1:11" x14ac:dyDescent="0.25">
      <c r="A17" s="8">
        <f>ROW()-6</f>
      </c>
      <c r="B17" s="9">
        <v>2</v>
      </c>
      <c r="C17" s="9" t="s">
        <v>61</v>
      </c>
      <c r="D17" s="9" t="s">
        <v>62</v>
      </c>
      <c r="E17" s="9" t="s">
        <v>63</v>
      </c>
      <c r="F17" s="9" t="s">
        <v>0</v>
      </c>
      <c r="G17" s="9" t="s">
        <v>61</v>
      </c>
      <c r="H17" s="9" t="s">
        <v>64</v>
      </c>
      <c r="I17" s="9" t="s">
        <v>65</v>
      </c>
      <c r="J17" s="9" t="s">
        <v>26</v>
      </c>
      <c r="K17" s="9" t="s">
        <v>0</v>
      </c>
    </row>
    <row r="18" spans="1:11" x14ac:dyDescent="0.25">
      <c r="A18" s="8">
        <f>ROW()-6</f>
      </c>
      <c r="B18" s="9">
        <v>1</v>
      </c>
      <c r="C18" s="9" t="s">
        <v>66</v>
      </c>
      <c r="D18" s="9" t="s">
        <v>67</v>
      </c>
      <c r="E18" s="9" t="s">
        <v>68</v>
      </c>
      <c r="F18" s="9" t="s">
        <v>0</v>
      </c>
      <c r="G18" s="9" t="s">
        <v>66</v>
      </c>
      <c r="H18" s="9" t="s">
        <v>69</v>
      </c>
      <c r="I18" s="9" t="s">
        <v>70</v>
      </c>
      <c r="J18" s="9" t="s">
        <v>26</v>
      </c>
      <c r="K18" s="9" t="s">
        <v>0</v>
      </c>
    </row>
    <row r="19" spans="1:11" x14ac:dyDescent="0.25">
      <c r="A19" s="8">
        <f>ROW()-6</f>
      </c>
      <c r="B19" s="9">
        <v>1</v>
      </c>
      <c r="C19" s="9" t="s">
        <v>71</v>
      </c>
      <c r="D19" s="9" t="s">
        <v>72</v>
      </c>
      <c r="E19" s="9" t="s">
        <v>73</v>
      </c>
      <c r="F19" s="9" t="s">
        <v>0</v>
      </c>
      <c r="G19" s="9" t="s">
        <v>71</v>
      </c>
      <c r="H19" s="9" t="s">
        <v>74</v>
      </c>
      <c r="I19" s="9" t="s">
        <v>75</v>
      </c>
      <c r="J19" s="9" t="s">
        <v>26</v>
      </c>
      <c r="K19" s="9" t="s">
        <v>0</v>
      </c>
    </row>
    <row r="20" spans="1:11" x14ac:dyDescent="0.25">
      <c r="A20" s="8">
        <f>ROW()-6</f>
      </c>
      <c r="B20" s="9">
        <v>1</v>
      </c>
      <c r="C20" s="9" t="s">
        <v>76</v>
      </c>
      <c r="D20" s="9" t="s">
        <v>77</v>
      </c>
      <c r="E20" s="9" t="s">
        <v>78</v>
      </c>
      <c r="F20" s="9" t="s">
        <v>0</v>
      </c>
      <c r="G20" s="9" t="s">
        <v>76</v>
      </c>
      <c r="H20" s="9" t="s">
        <v>79</v>
      </c>
      <c r="I20" s="9" t="s">
        <v>80</v>
      </c>
      <c r="J20" s="9" t="s">
        <v>26</v>
      </c>
      <c r="K20" s="9" t="s">
        <v>0</v>
      </c>
    </row>
    <row r="21" spans="1:11" x14ac:dyDescent="0.25">
      <c r="A21" s="8">
        <f>ROW()-6</f>
      </c>
      <c r="B21" s="9">
        <v>5</v>
      </c>
      <c r="C21" s="9" t="s">
        <v>81</v>
      </c>
      <c r="D21" s="9" t="s">
        <v>82</v>
      </c>
      <c r="E21" s="9" t="s">
        <v>83</v>
      </c>
      <c r="F21" s="9" t="s">
        <v>0</v>
      </c>
      <c r="G21" s="9" t="s">
        <v>81</v>
      </c>
      <c r="H21" s="9" t="s">
        <v>79</v>
      </c>
      <c r="I21" s="9" t="s">
        <v>84</v>
      </c>
      <c r="J21" s="9" t="s">
        <v>26</v>
      </c>
      <c r="K21" s="9" t="s">
        <v>0</v>
      </c>
    </row>
    <row r="22" spans="1:11" x14ac:dyDescent="0.25">
      <c r="A22" s="8">
        <f>ROW()-6</f>
      </c>
      <c r="B22" s="9">
        <v>17</v>
      </c>
      <c r="C22" s="9" t="s">
        <v>85</v>
      </c>
      <c r="D22" s="9" t="s">
        <v>86</v>
      </c>
      <c r="E22" s="9" t="s">
        <v>87</v>
      </c>
      <c r="F22" s="9" t="s">
        <v>0</v>
      </c>
      <c r="G22" s="9" t="s">
        <v>85</v>
      </c>
      <c r="H22" s="9" t="s">
        <v>88</v>
      </c>
      <c r="I22" s="9" t="s">
        <v>89</v>
      </c>
      <c r="J22" s="9" t="s">
        <v>26</v>
      </c>
      <c r="K22" s="9" t="s">
        <v>0</v>
      </c>
    </row>
    <row r="23" spans="1:11" x14ac:dyDescent="0.25">
      <c r="A23" s="8">
        <f>ROW()-6</f>
      </c>
      <c r="B23" s="9">
        <v>1</v>
      </c>
      <c r="C23" s="9" t="s">
        <v>90</v>
      </c>
      <c r="D23" s="9" t="s">
        <v>91</v>
      </c>
      <c r="E23" s="9" t="s">
        <v>92</v>
      </c>
      <c r="F23" s="9" t="s">
        <v>0</v>
      </c>
      <c r="G23" s="9" t="s">
        <v>90</v>
      </c>
      <c r="H23" s="9" t="s">
        <v>93</v>
      </c>
      <c r="I23" s="9" t="s">
        <v>94</v>
      </c>
      <c r="J23" s="9" t="s">
        <v>26</v>
      </c>
      <c r="K23" s="9" t="s">
        <v>0</v>
      </c>
    </row>
    <row r="24" spans="1:11" x14ac:dyDescent="0.25">
      <c r="A24" s="8">
        <f>ROW()-6</f>
      </c>
      <c r="B24" s="9">
        <v>1</v>
      </c>
      <c r="C24" s="9" t="s">
        <v>95</v>
      </c>
      <c r="D24" s="9" t="s">
        <v>95</v>
      </c>
      <c r="E24" s="9" t="s">
        <v>96</v>
      </c>
      <c r="F24" s="9" t="s">
        <v>0</v>
      </c>
      <c r="G24" s="9" t="s">
        <v>95</v>
      </c>
      <c r="H24" s="9" t="s">
        <v>97</v>
      </c>
      <c r="I24" s="9" t="s">
        <v>98</v>
      </c>
      <c r="J24" s="9" t="s">
        <v>26</v>
      </c>
      <c r="K24" s="9" t="s">
        <v>0</v>
      </c>
    </row>
    <row r="25" spans="1:11" x14ac:dyDescent="0.25">
      <c r="A25" s="8">
        <f>ROW()-6</f>
      </c>
      <c r="B25" s="9">
        <v>1</v>
      </c>
      <c r="C25" s="9" t="s">
        <v>99</v>
      </c>
      <c r="D25" s="9" t="s">
        <v>100</v>
      </c>
      <c r="E25" s="9" t="s">
        <v>101</v>
      </c>
      <c r="F25" s="9" t="s">
        <v>0</v>
      </c>
      <c r="G25" s="9" t="s">
        <v>99</v>
      </c>
      <c r="H25" s="9" t="s">
        <v>102</v>
      </c>
      <c r="I25" s="9" t="s">
        <v>103</v>
      </c>
      <c r="J25" s="9" t="s">
        <v>26</v>
      </c>
      <c r="K25" s="9" t="s">
        <v>0</v>
      </c>
    </row>
    <row r="26" spans="1:11" x14ac:dyDescent="0.25">
      <c r="A26" s="8">
        <f>ROW()-6</f>
      </c>
      <c r="B26" s="9">
        <v>4</v>
      </c>
      <c r="C26" s="9" t="s">
        <v>104</v>
      </c>
      <c r="D26" s="9" t="s">
        <v>105</v>
      </c>
      <c r="E26" s="9" t="s">
        <v>106</v>
      </c>
      <c r="F26" s="9" t="s">
        <v>0</v>
      </c>
      <c r="G26" s="9" t="s">
        <v>104</v>
      </c>
      <c r="H26" s="9" t="s">
        <v>79</v>
      </c>
      <c r="I26" s="9" t="s">
        <v>107</v>
      </c>
      <c r="J26" s="9" t="s">
        <v>26</v>
      </c>
      <c r="K26" s="9" t="s">
        <v>0</v>
      </c>
    </row>
    <row r="27" spans="1:11" x14ac:dyDescent="0.25">
      <c r="A27" s="8">
        <f>ROW()-6</f>
      </c>
      <c r="B27" s="9">
        <v>1</v>
      </c>
      <c r="C27" s="9" t="s">
        <v>108</v>
      </c>
      <c r="D27" s="9" t="s">
        <v>109</v>
      </c>
      <c r="E27" s="9" t="s">
        <v>110</v>
      </c>
      <c r="F27" s="9" t="s">
        <v>0</v>
      </c>
      <c r="G27" s="9" t="s">
        <v>108</v>
      </c>
      <c r="H27" s="9" t="s">
        <v>111</v>
      </c>
      <c r="I27" s="9" t="s">
        <v>112</v>
      </c>
      <c r="J27" s="9" t="s">
        <v>26</v>
      </c>
      <c r="K27" s="9" t="s">
        <v>0</v>
      </c>
    </row>
    <row r="28" spans="1:11" x14ac:dyDescent="0.25">
      <c r="A28" s="8">
        <f>ROW()-6</f>
      </c>
      <c r="B28" s="9">
        <v>18</v>
      </c>
      <c r="C28" s="9" t="s">
        <v>113</v>
      </c>
      <c r="D28" s="9" t="s">
        <v>114</v>
      </c>
      <c r="E28" s="9" t="s">
        <v>115</v>
      </c>
      <c r="F28" s="9" t="s">
        <v>113</v>
      </c>
      <c r="G28" s="9" t="s">
        <v>116</v>
      </c>
      <c r="H28" s="9" t="s">
        <v>117</v>
      </c>
      <c r="I28" s="9" t="s">
        <v>118</v>
      </c>
      <c r="J28" s="9" t="s">
        <v>26</v>
      </c>
      <c r="K28" s="9" t="s">
        <v>0</v>
      </c>
    </row>
    <row r="29" spans="1:11" x14ac:dyDescent="0.25">
      <c r="A29" s="8">
        <f>ROW()-6</f>
      </c>
      <c r="B29" s="9">
        <v>5</v>
      </c>
      <c r="C29" s="9" t="s">
        <v>119</v>
      </c>
      <c r="D29" s="9" t="s">
        <v>120</v>
      </c>
      <c r="E29" s="9" t="s">
        <v>115</v>
      </c>
      <c r="F29" s="9" t="s">
        <v>119</v>
      </c>
      <c r="G29" s="9" t="s">
        <v>121</v>
      </c>
      <c r="H29" s="9" t="s">
        <v>117</v>
      </c>
      <c r="I29" s="9" t="s">
        <v>122</v>
      </c>
      <c r="J29" s="9" t="s">
        <v>26</v>
      </c>
      <c r="K29" s="9" t="s">
        <v>0</v>
      </c>
    </row>
    <row r="30" spans="1:11" x14ac:dyDescent="0.25">
      <c r="A30" s="8">
        <f>ROW()-6</f>
      </c>
      <c r="B30" s="9">
        <v>1</v>
      </c>
      <c r="C30" s="9" t="s">
        <v>123</v>
      </c>
      <c r="D30" s="9" t="s">
        <v>124</v>
      </c>
      <c r="E30" s="9" t="s">
        <v>115</v>
      </c>
      <c r="F30" s="9" t="s">
        <v>123</v>
      </c>
      <c r="G30" s="9" t="s">
        <v>125</v>
      </c>
      <c r="H30" s="9" t="s">
        <v>117</v>
      </c>
      <c r="I30" s="9" t="s">
        <v>126</v>
      </c>
      <c r="J30" s="9" t="s">
        <v>26</v>
      </c>
      <c r="K30" s="9" t="s">
        <v>0</v>
      </c>
    </row>
    <row r="31" spans="1:11" x14ac:dyDescent="0.25">
      <c r="A31" s="8">
        <f>ROW()-6</f>
      </c>
      <c r="B31" s="9">
        <v>1</v>
      </c>
      <c r="C31" s="9" t="s">
        <v>127</v>
      </c>
      <c r="D31" s="9" t="s">
        <v>128</v>
      </c>
      <c r="E31" s="9" t="s">
        <v>115</v>
      </c>
      <c r="F31" s="9" t="s">
        <v>127</v>
      </c>
      <c r="G31" s="9" t="s">
        <v>129</v>
      </c>
      <c r="H31" s="9" t="s">
        <v>117</v>
      </c>
      <c r="I31" s="9" t="s">
        <v>130</v>
      </c>
      <c r="J31" s="9" t="s">
        <v>26</v>
      </c>
      <c r="K31" s="9" t="s">
        <v>0</v>
      </c>
    </row>
    <row r="32" spans="1:11" x14ac:dyDescent="0.25">
      <c r="A32" s="8">
        <f>ROW()-6</f>
      </c>
      <c r="B32" s="9">
        <v>2</v>
      </c>
      <c r="C32" s="9" t="s">
        <v>131</v>
      </c>
      <c r="D32" s="9" t="s">
        <v>132</v>
      </c>
      <c r="E32" s="9" t="s">
        <v>115</v>
      </c>
      <c r="F32" s="9" t="s">
        <v>131</v>
      </c>
      <c r="G32" s="9" t="s">
        <v>133</v>
      </c>
      <c r="H32" s="9" t="s">
        <v>117</v>
      </c>
      <c r="I32" s="9" t="s">
        <v>134</v>
      </c>
      <c r="J32" s="9" t="s">
        <v>26</v>
      </c>
      <c r="K32" s="9" t="s">
        <v>0</v>
      </c>
    </row>
    <row r="33" spans="1:11" x14ac:dyDescent="0.25">
      <c r="A33" s="8">
        <f>ROW()-6</f>
      </c>
      <c r="B33" s="9">
        <v>2</v>
      </c>
      <c r="C33" s="9" t="s">
        <v>135</v>
      </c>
      <c r="D33" s="9" t="s">
        <v>136</v>
      </c>
      <c r="E33" s="9" t="s">
        <v>115</v>
      </c>
      <c r="F33" s="9" t="s">
        <v>135</v>
      </c>
      <c r="G33" s="9" t="s">
        <v>137</v>
      </c>
      <c r="H33" s="9" t="s">
        <v>117</v>
      </c>
      <c r="I33" s="9" t="s">
        <v>138</v>
      </c>
      <c r="J33" s="9" t="s">
        <v>26</v>
      </c>
      <c r="K33" s="9" t="s">
        <v>0</v>
      </c>
    </row>
    <row r="34" spans="1:11" x14ac:dyDescent="0.25">
      <c r="A34" s="8">
        <f>ROW()-6</f>
      </c>
      <c r="B34" s="9">
        <v>2</v>
      </c>
      <c r="C34" s="9" t="s">
        <v>127</v>
      </c>
      <c r="D34" s="9" t="s">
        <v>139</v>
      </c>
      <c r="E34" s="9" t="s">
        <v>140</v>
      </c>
      <c r="F34" s="9" t="s">
        <v>127</v>
      </c>
      <c r="G34" s="9" t="s">
        <v>141</v>
      </c>
      <c r="H34" s="9" t="s">
        <v>117</v>
      </c>
      <c r="I34" s="9" t="s">
        <v>142</v>
      </c>
      <c r="J34" s="9" t="s">
        <v>26</v>
      </c>
      <c r="K34" s="9" t="s">
        <v>0</v>
      </c>
    </row>
    <row r="35" spans="1:11" x14ac:dyDescent="0.25">
      <c r="A35" s="8">
        <f>ROW()-6</f>
      </c>
      <c r="B35" s="9">
        <v>1</v>
      </c>
      <c r="C35" s="9" t="s">
        <v>119</v>
      </c>
      <c r="D35" s="9" t="s">
        <v>143</v>
      </c>
      <c r="E35" s="9" t="s">
        <v>140</v>
      </c>
      <c r="F35" s="9" t="s">
        <v>119</v>
      </c>
      <c r="G35" s="9" t="s">
        <v>144</v>
      </c>
      <c r="H35" s="9" t="s">
        <v>117</v>
      </c>
      <c r="I35" s="9" t="s">
        <v>145</v>
      </c>
      <c r="J35" s="9" t="s">
        <v>26</v>
      </c>
      <c r="K35" s="9" t="s">
        <v>0</v>
      </c>
    </row>
    <row r="36" spans="1:11" x14ac:dyDescent="0.25">
      <c r="A36" s="8">
        <f>ROW()-6</f>
      </c>
      <c r="B36" s="9">
        <v>1</v>
      </c>
      <c r="C36" s="9" t="s">
        <v>146</v>
      </c>
      <c r="D36" s="9" t="s">
        <v>147</v>
      </c>
      <c r="E36" s="9" t="s">
        <v>140</v>
      </c>
      <c r="F36" s="9" t="s">
        <v>146</v>
      </c>
      <c r="G36" s="9" t="s">
        <v>148</v>
      </c>
      <c r="H36" s="9" t="s">
        <v>117</v>
      </c>
      <c r="I36" s="9" t="s">
        <v>149</v>
      </c>
      <c r="J36" s="9" t="s">
        <v>26</v>
      </c>
      <c r="K36" s="9" t="s">
        <v>0</v>
      </c>
    </row>
    <row r="37" spans="1:11" x14ac:dyDescent="0.25">
      <c r="A37" s="8">
        <f>ROW()-6</f>
      </c>
      <c r="B37" s="9">
        <v>17</v>
      </c>
      <c r="C37" s="9" t="s">
        <v>123</v>
      </c>
      <c r="D37" s="9" t="s">
        <v>150</v>
      </c>
      <c r="E37" s="9" t="s">
        <v>140</v>
      </c>
      <c r="F37" s="9" t="s">
        <v>123</v>
      </c>
      <c r="G37" s="9" t="s">
        <v>151</v>
      </c>
      <c r="H37" s="9" t="s">
        <v>117</v>
      </c>
      <c r="I37" s="9" t="s">
        <v>152</v>
      </c>
      <c r="J37" s="9" t="s">
        <v>26</v>
      </c>
      <c r="K37" s="9" t="s">
        <v>0</v>
      </c>
    </row>
    <row r="38" spans="1:11" x14ac:dyDescent="0.25">
      <c r="A38" s="8">
        <f>ROW()-6</f>
      </c>
      <c r="B38" s="9">
        <v>16</v>
      </c>
      <c r="C38" s="9" t="s">
        <v>153</v>
      </c>
      <c r="D38" s="9" t="s">
        <v>154</v>
      </c>
      <c r="E38" s="9" t="s">
        <v>155</v>
      </c>
      <c r="F38" s="9" t="s">
        <v>0</v>
      </c>
      <c r="G38" s="9" t="s">
        <v>153</v>
      </c>
      <c r="H38" s="9" t="s">
        <v>156</v>
      </c>
      <c r="I38" s="9" t="s">
        <v>157</v>
      </c>
      <c r="J38" s="9" t="s">
        <v>26</v>
      </c>
      <c r="K38" s="9" t="s">
        <v>0</v>
      </c>
    </row>
    <row r="39" spans="1:11" x14ac:dyDescent="0.25">
      <c r="A39" s="8">
        <f>ROW()-6</f>
      </c>
      <c r="B39" s="9">
        <v>1</v>
      </c>
      <c r="C39" s="9" t="s">
        <v>158</v>
      </c>
      <c r="D39" s="9" t="s">
        <v>159</v>
      </c>
      <c r="E39" s="9" t="s">
        <v>160</v>
      </c>
      <c r="F39" s="9" t="s">
        <v>0</v>
      </c>
      <c r="G39" s="9" t="s">
        <v>158</v>
      </c>
      <c r="H39" s="9" t="s">
        <v>161</v>
      </c>
      <c r="I39" s="9" t="s">
        <v>162</v>
      </c>
      <c r="J39" s="9" t="s">
        <v>26</v>
      </c>
      <c r="K39" s="9" t="s">
        <v>0</v>
      </c>
    </row>
    <row r="40" spans="1:11" x14ac:dyDescent="0.25">
      <c r="A40" s="8">
        <f>ROW()-6</f>
      </c>
      <c r="B40" s="9">
        <v>1</v>
      </c>
      <c r="C40" s="9" t="s">
        <v>163</v>
      </c>
      <c r="D40" s="9" t="s">
        <v>164</v>
      </c>
      <c r="E40" s="9" t="s">
        <v>165</v>
      </c>
      <c r="F40" s="9" t="s">
        <v>0</v>
      </c>
      <c r="G40" s="9" t="s">
        <v>163</v>
      </c>
      <c r="H40" s="9" t="s">
        <v>166</v>
      </c>
      <c r="I40" s="9" t="s">
        <v>167</v>
      </c>
      <c r="J40" s="9" t="s">
        <v>26</v>
      </c>
      <c r="K40" s="9" t="s">
        <v>0</v>
      </c>
    </row>
    <row r="41" spans="1:11" x14ac:dyDescent="0.25">
      <c r="A41" s="8">
        <f>ROW()-6</f>
      </c>
      <c r="B41" s="9">
        <v>1</v>
      </c>
      <c r="C41" s="9" t="s">
        <v>168</v>
      </c>
      <c r="D41" s="9" t="s">
        <v>168</v>
      </c>
      <c r="E41" s="9" t="s">
        <v>169</v>
      </c>
      <c r="F41" s="9" t="s">
        <v>0</v>
      </c>
      <c r="G41" s="9" t="s">
        <v>168</v>
      </c>
      <c r="H41" s="9" t="s">
        <v>170</v>
      </c>
      <c r="I41" s="9" t="s">
        <v>171</v>
      </c>
      <c r="J41" s="9" t="s">
        <v>26</v>
      </c>
      <c r="K41" s="9" t="s">
        <v>0</v>
      </c>
    </row>
    <row r="42" spans="1:11" x14ac:dyDescent="0.25">
      <c r="A42" s="8">
        <f>ROW()-6</f>
      </c>
      <c r="B42" s="9">
        <v>2</v>
      </c>
      <c r="C42" s="9" t="s">
        <v>172</v>
      </c>
      <c r="D42" s="9" t="s">
        <v>173</v>
      </c>
      <c r="E42" s="9" t="s">
        <v>174</v>
      </c>
      <c r="F42" s="9" t="s">
        <v>0</v>
      </c>
      <c r="G42" s="9" t="s">
        <v>172</v>
      </c>
      <c r="H42" s="9" t="s">
        <v>175</v>
      </c>
      <c r="I42" s="9" t="s">
        <v>176</v>
      </c>
      <c r="J42" s="9" t="s">
        <v>26</v>
      </c>
      <c r="K42" s="9" t="s">
        <v>0</v>
      </c>
    </row>
    <row r="43" spans="1:11" x14ac:dyDescent="0.25">
      <c r="A43" s="8">
        <f>ROW()-6</f>
      </c>
      <c r="B43" s="9">
        <v>1</v>
      </c>
      <c r="C43" s="9" t="s">
        <v>177</v>
      </c>
      <c r="D43" s="9" t="s">
        <v>177</v>
      </c>
      <c r="E43" s="9" t="s">
        <v>178</v>
      </c>
      <c r="F43" s="9" t="s">
        <v>0</v>
      </c>
      <c r="G43" s="9" t="s">
        <v>177</v>
      </c>
      <c r="H43" s="9" t="s">
        <v>179</v>
      </c>
      <c r="I43" s="9" t="s">
        <v>180</v>
      </c>
      <c r="J43" s="9" t="s">
        <v>26</v>
      </c>
      <c r="K43" s="9" t="s">
        <v>0</v>
      </c>
    </row>
    <row r="44" spans="1:12" x14ac:dyDescent="0.25">
      <c r="A44" s="8">
        <f>ROW()-6</f>
      </c>
      <c r="B44" s="10">
        <f>SUM(L7:L43)</f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4">
    <mergeCell ref="A1:D5"/>
    <mergeCell ref="E1:E2"/>
    <mergeCell ref="F1:F2"/>
    <mergeCell ref="B44:L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181</v>
      </c>
      <c r="B1" s="6" t="s">
        <v>4</v>
      </c>
    </row>
    <row r="2" spans="1:2" x14ac:dyDescent="0.25">
      <c r="A2" s="6" t="s">
        <v>182</v>
      </c>
      <c r="B2" s="6" t="s">
        <v>183</v>
      </c>
    </row>
    <row r="3" spans="1:2" x14ac:dyDescent="0.25">
      <c r="A3" s="6" t="s">
        <v>184</v>
      </c>
      <c r="B3" s="6" t="s">
        <v>185</v>
      </c>
    </row>
    <row r="4" spans="1:2" x14ac:dyDescent="0.25">
      <c r="A4" s="6" t="s">
        <v>186</v>
      </c>
      <c r="B4" s="6" t="s">
        <v>187</v>
      </c>
    </row>
    <row r="5" spans="1:2" x14ac:dyDescent="0.25">
      <c r="A5" s="6" t="s">
        <v>188</v>
      </c>
      <c r="B5" s="6" t="s">
        <v>6</v>
      </c>
    </row>
    <row r="6" spans="1:2" x14ac:dyDescent="0.25">
      <c r="A6" s="6" t="s">
        <v>189</v>
      </c>
      <c r="B6" s="6">
        <v>143</v>
      </c>
    </row>
    <row r="7" spans="1:2" x14ac:dyDescent="0.25">
      <c r="A7" s="6" t="s">
        <v>190</v>
      </c>
      <c r="B7" s="6" t="s">
        <v>191</v>
      </c>
    </row>
    <row r="8" spans="1:2" x14ac:dyDescent="0.25">
      <c r="A8" s="6" t="s">
        <v>192</v>
      </c>
      <c r="B8" s="6" t="s">
        <v>193</v>
      </c>
    </row>
    <row r="9" spans="1:2" x14ac:dyDescent="0.25">
      <c r="A9" s="6" t="s">
        <v>194</v>
      </c>
      <c r="B9" s="6" t="s">
        <v>8</v>
      </c>
    </row>
    <row r="10" spans="1:2" x14ac:dyDescent="0.25">
      <c r="A10" s="6" t="s">
        <v>195</v>
      </c>
      <c r="B10" s="6" t="s">
        <v>2</v>
      </c>
    </row>
    <row r="11" spans="1:2" x14ac:dyDescent="0.25">
      <c r="A11" s="6" t="s">
        <v>196</v>
      </c>
      <c r="B11" s="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2026-07-31T16:16:47Z</dcterms:modified>
</cp:coreProperties>
</file>